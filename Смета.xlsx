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оекты бот\"/>
    </mc:Choice>
  </mc:AlternateContent>
  <xr:revisionPtr revIDLastSave="0" documentId="13_ncr:1_{6325626F-5A32-48EA-B427-E79CCEBAB09E}" xr6:coauthVersionLast="47" xr6:coauthVersionMax="47" xr10:uidLastSave="{00000000-0000-0000-0000-000000000000}"/>
  <bookViews>
    <workbookView xWindow="28680" yWindow="-120" windowWidth="38640" windowHeight="21240" xr2:uid="{0C436244-1A17-4ACC-B95F-3E000739251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6" i="1"/>
  <c r="G25" i="1"/>
  <c r="G22" i="1"/>
  <c r="G23" i="1"/>
  <c r="G24" i="1"/>
  <c r="G15" i="1"/>
  <c r="G7" i="1"/>
  <c r="G21" i="1"/>
  <c r="G20" i="1"/>
  <c r="G19" i="1"/>
  <c r="G18" i="1"/>
  <c r="G8" i="1"/>
  <c r="G9" i="1"/>
  <c r="G10" i="1"/>
  <c r="G11" i="1"/>
  <c r="G12" i="1"/>
  <c r="G13" i="1"/>
  <c r="G14" i="1"/>
  <c r="G16" i="1"/>
  <c r="G17" i="1"/>
  <c r="G6" i="1"/>
  <c r="G5" i="1"/>
  <c r="G4" i="1"/>
</calcChain>
</file>

<file path=xl/sharedStrings.xml><?xml version="1.0" encoding="utf-8"?>
<sst xmlns="http://schemas.openxmlformats.org/spreadsheetml/2006/main" count="62" uniqueCount="58">
  <si>
    <t>Деталь</t>
  </si>
  <si>
    <t>Модель</t>
  </si>
  <si>
    <t>Габарит</t>
  </si>
  <si>
    <t>Кол-во</t>
  </si>
  <si>
    <t>Цена</t>
  </si>
  <si>
    <t>Стоимость</t>
  </si>
  <si>
    <t>Двигатель</t>
  </si>
  <si>
    <t>25GA-370-100</t>
  </si>
  <si>
    <t>D25x54</t>
  </si>
  <si>
    <t>Драйвер дв.</t>
  </si>
  <si>
    <t>L298N</t>
  </si>
  <si>
    <t>44 x 44 x 28 мм</t>
  </si>
  <si>
    <t>Ступица</t>
  </si>
  <si>
    <t>D12x20</t>
  </si>
  <si>
    <t>ATGM336H</t>
  </si>
  <si>
    <t>GY-NEO7M</t>
  </si>
  <si>
    <t>GPS</t>
  </si>
  <si>
    <t>GY-273</t>
  </si>
  <si>
    <t>Компас</t>
  </si>
  <si>
    <t>HC-SR04</t>
  </si>
  <si>
    <t>Ультразвук</t>
  </si>
  <si>
    <t>PAM8403</t>
  </si>
  <si>
    <t>УНЧ</t>
  </si>
  <si>
    <t>MP3</t>
  </si>
  <si>
    <t>MP3 Mini</t>
  </si>
  <si>
    <t>CN3767/CN3722 </t>
  </si>
  <si>
    <t>50x30</t>
  </si>
  <si>
    <t>GSM</t>
  </si>
  <si>
    <t>40x30</t>
  </si>
  <si>
    <t>Solar</t>
  </si>
  <si>
    <t>SIM800L</t>
  </si>
  <si>
    <t>20x15</t>
  </si>
  <si>
    <t>30x15</t>
  </si>
  <si>
    <t>25x20</t>
  </si>
  <si>
    <t>MICRO SD</t>
  </si>
  <si>
    <t>ESP</t>
  </si>
  <si>
    <t>ESP8266</t>
  </si>
  <si>
    <t>60x30</t>
  </si>
  <si>
    <t>Панель</t>
  </si>
  <si>
    <t>400х300</t>
  </si>
  <si>
    <t>Батар. Бл.</t>
  </si>
  <si>
    <t>Колеса</t>
  </si>
  <si>
    <t>Стаб. Пит.</t>
  </si>
  <si>
    <t>MP1584EN</t>
  </si>
  <si>
    <t>25ч20</t>
  </si>
  <si>
    <t>80х80</t>
  </si>
  <si>
    <t>Solar панель</t>
  </si>
  <si>
    <t>100х60</t>
  </si>
  <si>
    <t>5V120MA</t>
  </si>
  <si>
    <t>Гиро</t>
  </si>
  <si>
    <t>GY-521</t>
  </si>
  <si>
    <t>GY-68</t>
  </si>
  <si>
    <t>Давление</t>
  </si>
  <si>
    <t>ESP32</t>
  </si>
  <si>
    <t>Серво</t>
  </si>
  <si>
    <t>Др. серво</t>
  </si>
  <si>
    <t>28BYJ-48</t>
  </si>
  <si>
    <t>ULN2003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</si>
</sst>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7B8C-7426-46D7-91E7-A0241FFCCE86}">
  <dimension ref="B2:G28"/>
  <sheetViews>
    <sheetView tabSelected="1" workbookViewId="0">
      <selection activeCell="C24" sqref="C24"/>
    </sheetView>
  </sheetViews>
  <sheetFormatPr defaultRowHeight="15" x14ac:dyDescent="0.25"/>
  <cols>
    <col min="2" max="2" width="14.42578125" customWidth="1"/>
    <col min="3" max="3" width="15.5703125" customWidth="1"/>
    <col min="4" max="4" width="11.7109375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4" spans="2:7" x14ac:dyDescent="0.25">
      <c r="B4" t="s">
        <v>6</v>
      </c>
      <c r="C4" t="s">
        <v>7</v>
      </c>
      <c r="D4" t="s">
        <v>8</v>
      </c>
      <c r="E4">
        <v>6</v>
      </c>
      <c r="F4" s="1">
        <v>320</v>
      </c>
      <c r="G4">
        <f>F4*E4</f>
        <v>1920</v>
      </c>
    </row>
    <row r="5" spans="2:7" x14ac:dyDescent="0.25">
      <c r="B5" t="s">
        <v>9</v>
      </c>
      <c r="C5" t="s">
        <v>10</v>
      </c>
      <c r="D5" t="s">
        <v>11</v>
      </c>
      <c r="E5">
        <v>1</v>
      </c>
      <c r="F5" s="1">
        <v>134</v>
      </c>
      <c r="G5">
        <f>F5*E5</f>
        <v>134</v>
      </c>
    </row>
    <row r="6" spans="2:7" x14ac:dyDescent="0.25">
      <c r="B6" t="s">
        <v>12</v>
      </c>
      <c r="D6" t="s">
        <v>13</v>
      </c>
      <c r="E6">
        <v>2</v>
      </c>
      <c r="F6" s="1">
        <v>154</v>
      </c>
      <c r="G6">
        <f>F6*E6</f>
        <v>308</v>
      </c>
    </row>
    <row r="7" spans="2:7" x14ac:dyDescent="0.25">
      <c r="B7" t="s">
        <v>41</v>
      </c>
      <c r="E7">
        <v>2</v>
      </c>
      <c r="F7" s="1">
        <v>496</v>
      </c>
      <c r="G7">
        <f>F7*E7</f>
        <v>992</v>
      </c>
    </row>
    <row r="8" spans="2:7" x14ac:dyDescent="0.25">
      <c r="B8" s="2" t="s">
        <v>16</v>
      </c>
      <c r="C8" t="s">
        <v>14</v>
      </c>
      <c r="G8">
        <f t="shared" ref="G8:G23" si="0">F8*E8</f>
        <v>0</v>
      </c>
    </row>
    <row r="9" spans="2:7" x14ac:dyDescent="0.25">
      <c r="B9" s="2"/>
      <c r="C9" t="s">
        <v>15</v>
      </c>
      <c r="D9" t="s">
        <v>28</v>
      </c>
      <c r="E9">
        <v>0</v>
      </c>
      <c r="F9">
        <v>600</v>
      </c>
      <c r="G9">
        <f t="shared" si="0"/>
        <v>0</v>
      </c>
    </row>
    <row r="10" spans="2:7" x14ac:dyDescent="0.25">
      <c r="B10" t="s">
        <v>18</v>
      </c>
      <c r="C10" t="s">
        <v>17</v>
      </c>
      <c r="D10" t="s">
        <v>31</v>
      </c>
      <c r="E10">
        <v>1</v>
      </c>
      <c r="F10" s="1">
        <v>278</v>
      </c>
      <c r="G10">
        <f t="shared" si="0"/>
        <v>278</v>
      </c>
    </row>
    <row r="11" spans="2:7" x14ac:dyDescent="0.25">
      <c r="B11" t="s">
        <v>20</v>
      </c>
      <c r="C11" t="s">
        <v>19</v>
      </c>
      <c r="E11">
        <v>1</v>
      </c>
      <c r="F11">
        <v>200</v>
      </c>
      <c r="G11">
        <f t="shared" si="0"/>
        <v>200</v>
      </c>
    </row>
    <row r="12" spans="2:7" x14ac:dyDescent="0.25">
      <c r="B12" t="s">
        <v>22</v>
      </c>
      <c r="C12" t="s">
        <v>21</v>
      </c>
      <c r="D12" t="s">
        <v>32</v>
      </c>
      <c r="E12">
        <v>1</v>
      </c>
      <c r="F12" s="1">
        <v>140</v>
      </c>
      <c r="G12">
        <f t="shared" si="0"/>
        <v>140</v>
      </c>
    </row>
    <row r="13" spans="2:7" x14ac:dyDescent="0.25">
      <c r="B13" t="s">
        <v>23</v>
      </c>
      <c r="C13" t="s">
        <v>24</v>
      </c>
      <c r="D13" t="s">
        <v>33</v>
      </c>
      <c r="E13">
        <v>1</v>
      </c>
      <c r="F13">
        <v>300</v>
      </c>
      <c r="G13">
        <f t="shared" si="0"/>
        <v>300</v>
      </c>
    </row>
    <row r="14" spans="2:7" x14ac:dyDescent="0.25">
      <c r="B14" t="s">
        <v>29</v>
      </c>
      <c r="C14" t="s">
        <v>25</v>
      </c>
      <c r="D14" t="s">
        <v>26</v>
      </c>
      <c r="E14">
        <v>0</v>
      </c>
      <c r="F14">
        <v>230</v>
      </c>
      <c r="G14">
        <f t="shared" si="0"/>
        <v>0</v>
      </c>
    </row>
    <row r="15" spans="2:7" x14ac:dyDescent="0.25">
      <c r="B15" t="s">
        <v>46</v>
      </c>
      <c r="C15" t="s">
        <v>48</v>
      </c>
      <c r="D15" t="s">
        <v>47</v>
      </c>
      <c r="E15">
        <v>0</v>
      </c>
      <c r="F15">
        <v>104</v>
      </c>
      <c r="G15">
        <f t="shared" si="0"/>
        <v>0</v>
      </c>
    </row>
    <row r="16" spans="2:7" x14ac:dyDescent="0.25">
      <c r="B16" t="s">
        <v>27</v>
      </c>
      <c r="C16" t="s">
        <v>30</v>
      </c>
      <c r="D16" t="s">
        <v>28</v>
      </c>
      <c r="E16">
        <v>0</v>
      </c>
      <c r="F16">
        <v>600</v>
      </c>
      <c r="G16">
        <f t="shared" si="0"/>
        <v>0</v>
      </c>
    </row>
    <row r="17" spans="2:7" x14ac:dyDescent="0.25">
      <c r="B17" t="s">
        <v>34</v>
      </c>
      <c r="C17" t="s">
        <v>34</v>
      </c>
      <c r="D17" t="s">
        <v>28</v>
      </c>
      <c r="E17">
        <v>0</v>
      </c>
      <c r="F17">
        <v>200</v>
      </c>
      <c r="G17">
        <f t="shared" si="0"/>
        <v>0</v>
      </c>
    </row>
    <row r="18" spans="2:7" x14ac:dyDescent="0.25">
      <c r="B18" t="s">
        <v>35</v>
      </c>
      <c r="C18" t="s">
        <v>36</v>
      </c>
      <c r="D18" t="s">
        <v>37</v>
      </c>
      <c r="E18">
        <v>0</v>
      </c>
      <c r="F18">
        <v>300</v>
      </c>
      <c r="G18">
        <f t="shared" si="0"/>
        <v>0</v>
      </c>
    </row>
    <row r="19" spans="2:7" x14ac:dyDescent="0.25">
      <c r="B19" t="s">
        <v>38</v>
      </c>
      <c r="D19" t="s">
        <v>39</v>
      </c>
      <c r="E19">
        <v>1</v>
      </c>
      <c r="F19" s="1">
        <v>315</v>
      </c>
      <c r="G19">
        <f t="shared" si="0"/>
        <v>315</v>
      </c>
    </row>
    <row r="20" spans="2:7" x14ac:dyDescent="0.25">
      <c r="B20" t="s">
        <v>40</v>
      </c>
      <c r="D20" t="s">
        <v>45</v>
      </c>
      <c r="E20">
        <v>1</v>
      </c>
      <c r="F20" s="1">
        <v>127</v>
      </c>
      <c r="G20">
        <f t="shared" si="0"/>
        <v>127</v>
      </c>
    </row>
    <row r="21" spans="2:7" x14ac:dyDescent="0.25">
      <c r="B21" t="s">
        <v>42</v>
      </c>
      <c r="C21" t="s">
        <v>43</v>
      </c>
      <c r="D21" t="s">
        <v>44</v>
      </c>
      <c r="E21">
        <v>1</v>
      </c>
      <c r="F21" s="1">
        <v>130</v>
      </c>
      <c r="G21">
        <f t="shared" si="0"/>
        <v>130</v>
      </c>
    </row>
    <row r="22" spans="2:7" x14ac:dyDescent="0.25">
      <c r="B22" t="s">
        <v>49</v>
      </c>
      <c r="C22" t="s">
        <v>50</v>
      </c>
      <c r="E22">
        <v>0</v>
      </c>
      <c r="G22">
        <f t="shared" si="0"/>
        <v>0</v>
      </c>
    </row>
    <row r="23" spans="2:7" x14ac:dyDescent="0.25">
      <c r="B23" t="s">
        <v>52</v>
      </c>
      <c r="C23" t="s">
        <v>51</v>
      </c>
      <c r="E23">
        <v>0</v>
      </c>
      <c r="G23">
        <f t="shared" si="0"/>
        <v>0</v>
      </c>
    </row>
    <row r="24" spans="2:7" x14ac:dyDescent="0.25">
      <c r="B24" t="s">
        <v>53</v>
      </c>
      <c r="C24" t="s">
        <v>53</v>
      </c>
      <c r="E24">
        <v>1</v>
      </c>
      <c r="F24" s="1">
        <v>470</v>
      </c>
      <c r="G24">
        <f t="shared" ref="G24:G26" si="1">F24*E24</f>
        <v>470</v>
      </c>
    </row>
    <row r="25" spans="2:7" x14ac:dyDescent="0.25">
      <c r="B25" t="s">
        <v>54</v>
      </c>
      <c r="C25" t="s">
        <v>56</v>
      </c>
      <c r="E25">
        <v>1</v>
      </c>
      <c r="F25" s="1">
        <v>100</v>
      </c>
      <c r="G25">
        <f t="shared" si="1"/>
        <v>100</v>
      </c>
    </row>
    <row r="26" spans="2:7" x14ac:dyDescent="0.25">
      <c r="B26" t="s">
        <v>55</v>
      </c>
      <c r="C26" t="s">
        <v>57</v>
      </c>
      <c r="E26">
        <v>1</v>
      </c>
      <c r="F26" s="1">
        <v>180</v>
      </c>
      <c r="G26">
        <f t="shared" si="1"/>
        <v>180</v>
      </c>
    </row>
    <row r="28" spans="2:7" x14ac:dyDescent="0.25">
      <c r="G28">
        <f>SUM(G4:G26)</f>
        <v>5594</v>
      </c>
    </row>
  </sheetData>
  <mergeCells count="1">
    <mergeCell ref="B8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Панков Владимир</dc:creator>
  <cp:lastModifiedBy>Владимир Панков</cp:lastModifiedBy>
  <dcterms:created xsi:type="dcterms:W3CDTF">2025-09-29T05:54:08Z</dcterms:created>
  <dcterms:modified xsi:type="dcterms:W3CDTF">2025-11-24T12:42:45Z</dcterms:modified>
</cp:coreProperties>
</file>